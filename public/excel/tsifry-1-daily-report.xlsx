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жедневный 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 ddd"/>
    <numFmt numFmtId="167" formatCode="#,##0 ₽"/>
    <numFmt numFmtId="168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D60A"/>
      <sz val="18"/>
    </font>
    <font>
      <i val="1"/>
      <color rgb="00666666"/>
    </font>
    <font>
      <b val="1"/>
    </font>
    <font>
      <b val="1"/>
      <color rgb="000D0D0D"/>
    </font>
    <font/>
    <font>
      <b val="1"/>
      <color rgb="00FFD60A"/>
    </font>
  </fonts>
  <fills count="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F8D6"/>
      </patternFill>
    </fill>
    <fill>
      <patternFill patternType="solid">
        <fgColor rgb="00FFD60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0" borderId="0" pivotButton="0" quotePrefix="0" xfId="0"/>
    <xf numFmtId="165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166" fontId="5" fillId="5" borderId="1" pivotButton="0" quotePrefix="0" xfId="0"/>
    <xf numFmtId="167" fontId="0" fillId="3" borderId="1" pivotButton="0" quotePrefix="0" xfId="0"/>
    <xf numFmtId="1" fontId="0" fillId="3" borderId="1" pivotButton="0" quotePrefix="0" xfId="0"/>
    <xf numFmtId="167" fontId="5" fillId="5" borderId="1" pivotButton="0" quotePrefix="0" xfId="0"/>
    <xf numFmtId="168" fontId="5" fillId="5" borderId="1" pivotButton="0" quotePrefix="0" xfId="0"/>
    <xf numFmtId="167" fontId="6" fillId="2" borderId="1" pivotButton="0" quotePrefix="0" xfId="0"/>
    <xf numFmtId="1" fontId="6" fillId="2" borderId="1" pivotButton="0" quotePrefix="0" xfId="0"/>
    <xf numFmtId="168" fontId="6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9B9B"/>
          <bgColor rgb="00FF9B9B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14" customWidth="1" min="5" max="5"/>
    <col width="14" customWidth="1" min="6" max="6"/>
    <col width="16" customWidth="1" min="7" max="7"/>
    <col width="18" customWidth="1" min="8" max="8"/>
    <col width="13" customWidth="1" min="9" max="9"/>
    <col width="15" customWidth="1" min="10" max="10"/>
    <col width="3" customWidth="1" min="11" max="11"/>
    <col width="60" customWidth="1" min="12" max="12"/>
  </cols>
  <sheetData>
    <row r="1" ht="36" customHeight="1">
      <c r="A1" s="1" t="inlineStr">
        <is>
          <t>ЕЖЕДНЕВНЫЙ ОТЧЁТ КОФЕЙНИ</t>
        </is>
      </c>
    </row>
    <row r="2">
      <c r="A2" s="2" t="inlineStr">
        <is>
          <t>Заполняй жёлтые ячейки. Серые считаются сами. Дата первого дня в B3.</t>
        </is>
      </c>
    </row>
    <row r="3">
      <c r="A3" s="3" t="inlineStr">
        <is>
          <t>Первый день месяца:</t>
        </is>
      </c>
      <c r="B3" s="4" t="n">
        <v>46327</v>
      </c>
    </row>
    <row r="5" ht="34" customHeight="1">
      <c r="A5" s="5" t="inlineStr">
        <is>
          <t>Дата</t>
        </is>
      </c>
      <c r="B5" s="5" t="inlineStr">
        <is>
          <t>Выручка</t>
        </is>
      </c>
      <c r="C5" s="5" t="inlineStr">
        <is>
          <t>Чеков</t>
        </is>
      </c>
      <c r="D5" s="5" t="inlineStr">
        <is>
          <t>Средний чек</t>
        </is>
      </c>
      <c r="E5" s="5" t="inlineStr">
        <is>
          <t>Наличные</t>
        </is>
      </c>
      <c r="F5" s="5" t="inlineStr">
        <is>
          <t>Безнал</t>
        </is>
      </c>
      <c r="G5" s="5" t="inlineStr">
        <is>
          <t>Расходы за день</t>
        </is>
      </c>
      <c r="H5" s="5" t="inlineStr">
        <is>
          <t>Возвраты и отмены, ₽</t>
        </is>
      </c>
      <c r="I5" s="5" t="inlineStr">
        <is>
          <t>Доля возвратов</t>
        </is>
      </c>
      <c r="J5" s="5" t="inlineStr">
        <is>
          <t>Результат дня</t>
        </is>
      </c>
      <c r="L5" s="3" t="inlineStr">
        <is>
          <t>Подсказка</t>
        </is>
      </c>
    </row>
    <row r="6">
      <c r="A6" s="6">
        <f>B3</f>
        <v/>
      </c>
      <c r="B6" s="7" t="n"/>
      <c r="C6" s="8" t="n"/>
      <c r="D6" s="9">
        <f>IF(C6&gt;0,B6/C6,0)</f>
        <v/>
      </c>
      <c r="E6" s="7" t="n"/>
      <c r="F6" s="7" t="n"/>
      <c r="G6" s="7" t="n"/>
      <c r="H6" s="7" t="n"/>
      <c r="I6" s="10">
        <f>IF(B6&gt;0,H6/B6,0)</f>
        <v/>
      </c>
      <c r="J6" s="9">
        <f>B6-G6</f>
        <v/>
      </c>
      <c r="L6" t="inlineStr">
        <is>
          <t>Доля возвратов выше 3% подсвечивается красным: проверь кассу и камеры.</t>
        </is>
      </c>
    </row>
    <row r="7">
      <c r="A7" s="6">
        <f>B3+1</f>
        <v/>
      </c>
      <c r="B7" s="7" t="n"/>
      <c r="C7" s="8" t="n"/>
      <c r="D7" s="9">
        <f>IF(C7&gt;0,B7/C7,0)</f>
        <v/>
      </c>
      <c r="E7" s="7" t="n"/>
      <c r="F7" s="7" t="n"/>
      <c r="G7" s="7" t="n"/>
      <c r="H7" s="7" t="n"/>
      <c r="I7" s="10">
        <f>IF(B7&gt;0,H7/B7,0)</f>
        <v/>
      </c>
      <c r="J7" s="9">
        <f>B7-G7</f>
        <v/>
      </c>
    </row>
    <row r="8">
      <c r="A8" s="6">
        <f>B3+2</f>
        <v/>
      </c>
      <c r="B8" s="7" t="n"/>
      <c r="C8" s="8" t="n"/>
      <c r="D8" s="9">
        <f>IF(C8&gt;0,B8/C8,0)</f>
        <v/>
      </c>
      <c r="E8" s="7" t="n"/>
      <c r="F8" s="7" t="n"/>
      <c r="G8" s="7" t="n"/>
      <c r="H8" s="7" t="n"/>
      <c r="I8" s="10">
        <f>IF(B8&gt;0,H8/B8,0)</f>
        <v/>
      </c>
      <c r="J8" s="9">
        <f>B8-G8</f>
        <v/>
      </c>
    </row>
    <row r="9">
      <c r="A9" s="6">
        <f>B3+3</f>
        <v/>
      </c>
      <c r="B9" s="7" t="n"/>
      <c r="C9" s="8" t="n"/>
      <c r="D9" s="9">
        <f>IF(C9&gt;0,B9/C9,0)</f>
        <v/>
      </c>
      <c r="E9" s="7" t="n"/>
      <c r="F9" s="7" t="n"/>
      <c r="G9" s="7" t="n"/>
      <c r="H9" s="7" t="n"/>
      <c r="I9" s="10">
        <f>IF(B9&gt;0,H9/B9,0)</f>
        <v/>
      </c>
      <c r="J9" s="9">
        <f>B9-G9</f>
        <v/>
      </c>
    </row>
    <row r="10">
      <c r="A10" s="6">
        <f>B3+4</f>
        <v/>
      </c>
      <c r="B10" s="7" t="n"/>
      <c r="C10" s="8" t="n"/>
      <c r="D10" s="9">
        <f>IF(C10&gt;0,B10/C10,0)</f>
        <v/>
      </c>
      <c r="E10" s="7" t="n"/>
      <c r="F10" s="7" t="n"/>
      <c r="G10" s="7" t="n"/>
      <c r="H10" s="7" t="n"/>
      <c r="I10" s="10">
        <f>IF(B10&gt;0,H10/B10,0)</f>
        <v/>
      </c>
      <c r="J10" s="9">
        <f>B10-G10</f>
        <v/>
      </c>
    </row>
    <row r="11">
      <c r="A11" s="6">
        <f>B3+5</f>
        <v/>
      </c>
      <c r="B11" s="7" t="n"/>
      <c r="C11" s="8" t="n"/>
      <c r="D11" s="9">
        <f>IF(C11&gt;0,B11/C11,0)</f>
        <v/>
      </c>
      <c r="E11" s="7" t="n"/>
      <c r="F11" s="7" t="n"/>
      <c r="G11" s="7" t="n"/>
      <c r="H11" s="7" t="n"/>
      <c r="I11" s="10">
        <f>IF(B11&gt;0,H11/B11,0)</f>
        <v/>
      </c>
      <c r="J11" s="9">
        <f>B11-G11</f>
        <v/>
      </c>
    </row>
    <row r="12">
      <c r="A12" s="6">
        <f>B3+6</f>
        <v/>
      </c>
      <c r="B12" s="7" t="n"/>
      <c r="C12" s="8" t="n"/>
      <c r="D12" s="9">
        <f>IF(C12&gt;0,B12/C12,0)</f>
        <v/>
      </c>
      <c r="E12" s="7" t="n"/>
      <c r="F12" s="7" t="n"/>
      <c r="G12" s="7" t="n"/>
      <c r="H12" s="7" t="n"/>
      <c r="I12" s="10">
        <f>IF(B12&gt;0,H12/B12,0)</f>
        <v/>
      </c>
      <c r="J12" s="9">
        <f>B12-G12</f>
        <v/>
      </c>
    </row>
    <row r="13">
      <c r="A13" s="6">
        <f>B3+7</f>
        <v/>
      </c>
      <c r="B13" s="7" t="n"/>
      <c r="C13" s="8" t="n"/>
      <c r="D13" s="9">
        <f>IF(C13&gt;0,B13/C13,0)</f>
        <v/>
      </c>
      <c r="E13" s="7" t="n"/>
      <c r="F13" s="7" t="n"/>
      <c r="G13" s="7" t="n"/>
      <c r="H13" s="7" t="n"/>
      <c r="I13" s="10">
        <f>IF(B13&gt;0,H13/B13,0)</f>
        <v/>
      </c>
      <c r="J13" s="9">
        <f>B13-G13</f>
        <v/>
      </c>
    </row>
    <row r="14">
      <c r="A14" s="6">
        <f>B3+8</f>
        <v/>
      </c>
      <c r="B14" s="7" t="n"/>
      <c r="C14" s="8" t="n"/>
      <c r="D14" s="9">
        <f>IF(C14&gt;0,B14/C14,0)</f>
        <v/>
      </c>
      <c r="E14" s="7" t="n"/>
      <c r="F14" s="7" t="n"/>
      <c r="G14" s="7" t="n"/>
      <c r="H14" s="7" t="n"/>
      <c r="I14" s="10">
        <f>IF(B14&gt;0,H14/B14,0)</f>
        <v/>
      </c>
      <c r="J14" s="9">
        <f>B14-G14</f>
        <v/>
      </c>
    </row>
    <row r="15">
      <c r="A15" s="6">
        <f>B3+9</f>
        <v/>
      </c>
      <c r="B15" s="7" t="n"/>
      <c r="C15" s="8" t="n"/>
      <c r="D15" s="9">
        <f>IF(C15&gt;0,B15/C15,0)</f>
        <v/>
      </c>
      <c r="E15" s="7" t="n"/>
      <c r="F15" s="7" t="n"/>
      <c r="G15" s="7" t="n"/>
      <c r="H15" s="7" t="n"/>
      <c r="I15" s="10">
        <f>IF(B15&gt;0,H15/B15,0)</f>
        <v/>
      </c>
      <c r="J15" s="9">
        <f>B15-G15</f>
        <v/>
      </c>
    </row>
    <row r="16">
      <c r="A16" s="6">
        <f>B3+10</f>
        <v/>
      </c>
      <c r="B16" s="7" t="n"/>
      <c r="C16" s="8" t="n"/>
      <c r="D16" s="9">
        <f>IF(C16&gt;0,B16/C16,0)</f>
        <v/>
      </c>
      <c r="E16" s="7" t="n"/>
      <c r="F16" s="7" t="n"/>
      <c r="G16" s="7" t="n"/>
      <c r="H16" s="7" t="n"/>
      <c r="I16" s="10">
        <f>IF(B16&gt;0,H16/B16,0)</f>
        <v/>
      </c>
      <c r="J16" s="9">
        <f>B16-G16</f>
        <v/>
      </c>
    </row>
    <row r="17">
      <c r="A17" s="6">
        <f>B3+11</f>
        <v/>
      </c>
      <c r="B17" s="7" t="n"/>
      <c r="C17" s="8" t="n"/>
      <c r="D17" s="9">
        <f>IF(C17&gt;0,B17/C17,0)</f>
        <v/>
      </c>
      <c r="E17" s="7" t="n"/>
      <c r="F17" s="7" t="n"/>
      <c r="G17" s="7" t="n"/>
      <c r="H17" s="7" t="n"/>
      <c r="I17" s="10">
        <f>IF(B17&gt;0,H17/B17,0)</f>
        <v/>
      </c>
      <c r="J17" s="9">
        <f>B17-G17</f>
        <v/>
      </c>
    </row>
    <row r="18">
      <c r="A18" s="6">
        <f>B3+12</f>
        <v/>
      </c>
      <c r="B18" s="7" t="n"/>
      <c r="C18" s="8" t="n"/>
      <c r="D18" s="9">
        <f>IF(C18&gt;0,B18/C18,0)</f>
        <v/>
      </c>
      <c r="E18" s="7" t="n"/>
      <c r="F18" s="7" t="n"/>
      <c r="G18" s="7" t="n"/>
      <c r="H18" s="7" t="n"/>
      <c r="I18" s="10">
        <f>IF(B18&gt;0,H18/B18,0)</f>
        <v/>
      </c>
      <c r="J18" s="9">
        <f>B18-G18</f>
        <v/>
      </c>
    </row>
    <row r="19">
      <c r="A19" s="6">
        <f>B3+13</f>
        <v/>
      </c>
      <c r="B19" s="7" t="n"/>
      <c r="C19" s="8" t="n"/>
      <c r="D19" s="9">
        <f>IF(C19&gt;0,B19/C19,0)</f>
        <v/>
      </c>
      <c r="E19" s="7" t="n"/>
      <c r="F19" s="7" t="n"/>
      <c r="G19" s="7" t="n"/>
      <c r="H19" s="7" t="n"/>
      <c r="I19" s="10">
        <f>IF(B19&gt;0,H19/B19,0)</f>
        <v/>
      </c>
      <c r="J19" s="9">
        <f>B19-G19</f>
        <v/>
      </c>
    </row>
    <row r="20">
      <c r="A20" s="6">
        <f>B3+14</f>
        <v/>
      </c>
      <c r="B20" s="7" t="n"/>
      <c r="C20" s="8" t="n"/>
      <c r="D20" s="9">
        <f>IF(C20&gt;0,B20/C20,0)</f>
        <v/>
      </c>
      <c r="E20" s="7" t="n"/>
      <c r="F20" s="7" t="n"/>
      <c r="G20" s="7" t="n"/>
      <c r="H20" s="7" t="n"/>
      <c r="I20" s="10">
        <f>IF(B20&gt;0,H20/B20,0)</f>
        <v/>
      </c>
      <c r="J20" s="9">
        <f>B20-G20</f>
        <v/>
      </c>
    </row>
    <row r="21">
      <c r="A21" s="6">
        <f>B3+15</f>
        <v/>
      </c>
      <c r="B21" s="7" t="n"/>
      <c r="C21" s="8" t="n"/>
      <c r="D21" s="9">
        <f>IF(C21&gt;0,B21/C21,0)</f>
        <v/>
      </c>
      <c r="E21" s="7" t="n"/>
      <c r="F21" s="7" t="n"/>
      <c r="G21" s="7" t="n"/>
      <c r="H21" s="7" t="n"/>
      <c r="I21" s="10">
        <f>IF(B21&gt;0,H21/B21,0)</f>
        <v/>
      </c>
      <c r="J21" s="9">
        <f>B21-G21</f>
        <v/>
      </c>
    </row>
    <row r="22">
      <c r="A22" s="6">
        <f>B3+16</f>
        <v/>
      </c>
      <c r="B22" s="7" t="n"/>
      <c r="C22" s="8" t="n"/>
      <c r="D22" s="9">
        <f>IF(C22&gt;0,B22/C22,0)</f>
        <v/>
      </c>
      <c r="E22" s="7" t="n"/>
      <c r="F22" s="7" t="n"/>
      <c r="G22" s="7" t="n"/>
      <c r="H22" s="7" t="n"/>
      <c r="I22" s="10">
        <f>IF(B22&gt;0,H22/B22,0)</f>
        <v/>
      </c>
      <c r="J22" s="9">
        <f>B22-G22</f>
        <v/>
      </c>
    </row>
    <row r="23">
      <c r="A23" s="6">
        <f>B3+17</f>
        <v/>
      </c>
      <c r="B23" s="7" t="n"/>
      <c r="C23" s="8" t="n"/>
      <c r="D23" s="9">
        <f>IF(C23&gt;0,B23/C23,0)</f>
        <v/>
      </c>
      <c r="E23" s="7" t="n"/>
      <c r="F23" s="7" t="n"/>
      <c r="G23" s="7" t="n"/>
      <c r="H23" s="7" t="n"/>
      <c r="I23" s="10">
        <f>IF(B23&gt;0,H23/B23,0)</f>
        <v/>
      </c>
      <c r="J23" s="9">
        <f>B23-G23</f>
        <v/>
      </c>
    </row>
    <row r="24">
      <c r="A24" s="6">
        <f>B3+18</f>
        <v/>
      </c>
      <c r="B24" s="7" t="n"/>
      <c r="C24" s="8" t="n"/>
      <c r="D24" s="9">
        <f>IF(C24&gt;0,B24/C24,0)</f>
        <v/>
      </c>
      <c r="E24" s="7" t="n"/>
      <c r="F24" s="7" t="n"/>
      <c r="G24" s="7" t="n"/>
      <c r="H24" s="7" t="n"/>
      <c r="I24" s="10">
        <f>IF(B24&gt;0,H24/B24,0)</f>
        <v/>
      </c>
      <c r="J24" s="9">
        <f>B24-G24</f>
        <v/>
      </c>
    </row>
    <row r="25">
      <c r="A25" s="6">
        <f>B3+19</f>
        <v/>
      </c>
      <c r="B25" s="7" t="n"/>
      <c r="C25" s="8" t="n"/>
      <c r="D25" s="9">
        <f>IF(C25&gt;0,B25/C25,0)</f>
        <v/>
      </c>
      <c r="E25" s="7" t="n"/>
      <c r="F25" s="7" t="n"/>
      <c r="G25" s="7" t="n"/>
      <c r="H25" s="7" t="n"/>
      <c r="I25" s="10">
        <f>IF(B25&gt;0,H25/B25,0)</f>
        <v/>
      </c>
      <c r="J25" s="9">
        <f>B25-G25</f>
        <v/>
      </c>
    </row>
    <row r="26">
      <c r="A26" s="6">
        <f>B3+20</f>
        <v/>
      </c>
      <c r="B26" s="7" t="n"/>
      <c r="C26" s="8" t="n"/>
      <c r="D26" s="9">
        <f>IF(C26&gt;0,B26/C26,0)</f>
        <v/>
      </c>
      <c r="E26" s="7" t="n"/>
      <c r="F26" s="7" t="n"/>
      <c r="G26" s="7" t="n"/>
      <c r="H26" s="7" t="n"/>
      <c r="I26" s="10">
        <f>IF(B26&gt;0,H26/B26,0)</f>
        <v/>
      </c>
      <c r="J26" s="9">
        <f>B26-G26</f>
        <v/>
      </c>
    </row>
    <row r="27">
      <c r="A27" s="6">
        <f>B3+21</f>
        <v/>
      </c>
      <c r="B27" s="7" t="n"/>
      <c r="C27" s="8" t="n"/>
      <c r="D27" s="9">
        <f>IF(C27&gt;0,B27/C27,0)</f>
        <v/>
      </c>
      <c r="E27" s="7" t="n"/>
      <c r="F27" s="7" t="n"/>
      <c r="G27" s="7" t="n"/>
      <c r="H27" s="7" t="n"/>
      <c r="I27" s="10">
        <f>IF(B27&gt;0,H27/B27,0)</f>
        <v/>
      </c>
      <c r="J27" s="9">
        <f>B27-G27</f>
        <v/>
      </c>
    </row>
    <row r="28">
      <c r="A28" s="6">
        <f>B3+22</f>
        <v/>
      </c>
      <c r="B28" s="7" t="n"/>
      <c r="C28" s="8" t="n"/>
      <c r="D28" s="9">
        <f>IF(C28&gt;0,B28/C28,0)</f>
        <v/>
      </c>
      <c r="E28" s="7" t="n"/>
      <c r="F28" s="7" t="n"/>
      <c r="G28" s="7" t="n"/>
      <c r="H28" s="7" t="n"/>
      <c r="I28" s="10">
        <f>IF(B28&gt;0,H28/B28,0)</f>
        <v/>
      </c>
      <c r="J28" s="9">
        <f>B28-G28</f>
        <v/>
      </c>
    </row>
    <row r="29">
      <c r="A29" s="6">
        <f>B3+23</f>
        <v/>
      </c>
      <c r="B29" s="7" t="n"/>
      <c r="C29" s="8" t="n"/>
      <c r="D29" s="9">
        <f>IF(C29&gt;0,B29/C29,0)</f>
        <v/>
      </c>
      <c r="E29" s="7" t="n"/>
      <c r="F29" s="7" t="n"/>
      <c r="G29" s="7" t="n"/>
      <c r="H29" s="7" t="n"/>
      <c r="I29" s="10">
        <f>IF(B29&gt;0,H29/B29,0)</f>
        <v/>
      </c>
      <c r="J29" s="9">
        <f>B29-G29</f>
        <v/>
      </c>
    </row>
    <row r="30">
      <c r="A30" s="6">
        <f>B3+24</f>
        <v/>
      </c>
      <c r="B30" s="7" t="n"/>
      <c r="C30" s="8" t="n"/>
      <c r="D30" s="9">
        <f>IF(C30&gt;0,B30/C30,0)</f>
        <v/>
      </c>
      <c r="E30" s="7" t="n"/>
      <c r="F30" s="7" t="n"/>
      <c r="G30" s="7" t="n"/>
      <c r="H30" s="7" t="n"/>
      <c r="I30" s="10">
        <f>IF(B30&gt;0,H30/B30,0)</f>
        <v/>
      </c>
      <c r="J30" s="9">
        <f>B30-G30</f>
        <v/>
      </c>
    </row>
    <row r="31">
      <c r="A31" s="6">
        <f>B3+25</f>
        <v/>
      </c>
      <c r="B31" s="7" t="n"/>
      <c r="C31" s="8" t="n"/>
      <c r="D31" s="9">
        <f>IF(C31&gt;0,B31/C31,0)</f>
        <v/>
      </c>
      <c r="E31" s="7" t="n"/>
      <c r="F31" s="7" t="n"/>
      <c r="G31" s="7" t="n"/>
      <c r="H31" s="7" t="n"/>
      <c r="I31" s="10">
        <f>IF(B31&gt;0,H31/B31,0)</f>
        <v/>
      </c>
      <c r="J31" s="9">
        <f>B31-G31</f>
        <v/>
      </c>
    </row>
    <row r="32">
      <c r="A32" s="6">
        <f>B3+26</f>
        <v/>
      </c>
      <c r="B32" s="7" t="n"/>
      <c r="C32" s="8" t="n"/>
      <c r="D32" s="9">
        <f>IF(C32&gt;0,B32/C32,0)</f>
        <v/>
      </c>
      <c r="E32" s="7" t="n"/>
      <c r="F32" s="7" t="n"/>
      <c r="G32" s="7" t="n"/>
      <c r="H32" s="7" t="n"/>
      <c r="I32" s="10">
        <f>IF(B32&gt;0,H32/B32,0)</f>
        <v/>
      </c>
      <c r="J32" s="9">
        <f>B32-G32</f>
        <v/>
      </c>
    </row>
    <row r="33">
      <c r="A33" s="6">
        <f>B3+27</f>
        <v/>
      </c>
      <c r="B33" s="7" t="n"/>
      <c r="C33" s="8" t="n"/>
      <c r="D33" s="9">
        <f>IF(C33&gt;0,B33/C33,0)</f>
        <v/>
      </c>
      <c r="E33" s="7" t="n"/>
      <c r="F33" s="7" t="n"/>
      <c r="G33" s="7" t="n"/>
      <c r="H33" s="7" t="n"/>
      <c r="I33" s="10">
        <f>IF(B33&gt;0,H33/B33,0)</f>
        <v/>
      </c>
      <c r="J33" s="9">
        <f>B33-G33</f>
        <v/>
      </c>
    </row>
    <row r="34">
      <c r="A34" s="6">
        <f>B3+28</f>
        <v/>
      </c>
      <c r="B34" s="7" t="n"/>
      <c r="C34" s="8" t="n"/>
      <c r="D34" s="9">
        <f>IF(C34&gt;0,B34/C34,0)</f>
        <v/>
      </c>
      <c r="E34" s="7" t="n"/>
      <c r="F34" s="7" t="n"/>
      <c r="G34" s="7" t="n"/>
      <c r="H34" s="7" t="n"/>
      <c r="I34" s="10">
        <f>IF(B34&gt;0,H34/B34,0)</f>
        <v/>
      </c>
      <c r="J34" s="9">
        <f>B34-G34</f>
        <v/>
      </c>
    </row>
    <row r="35">
      <c r="A35" s="6">
        <f>B3+29</f>
        <v/>
      </c>
      <c r="B35" s="7" t="n"/>
      <c r="C35" s="8" t="n"/>
      <c r="D35" s="9">
        <f>IF(C35&gt;0,B35/C35,0)</f>
        <v/>
      </c>
      <c r="E35" s="7" t="n"/>
      <c r="F35" s="7" t="n"/>
      <c r="G35" s="7" t="n"/>
      <c r="H35" s="7" t="n"/>
      <c r="I35" s="10">
        <f>IF(B35&gt;0,H35/B35,0)</f>
        <v/>
      </c>
      <c r="J35" s="9">
        <f>B35-G35</f>
        <v/>
      </c>
    </row>
    <row r="36">
      <c r="A36" s="6">
        <f>B3+30</f>
        <v/>
      </c>
      <c r="B36" s="7" t="n"/>
      <c r="C36" s="8" t="n"/>
      <c r="D36" s="9">
        <f>IF(C36&gt;0,B36/C36,0)</f>
        <v/>
      </c>
      <c r="E36" s="7" t="n"/>
      <c r="F36" s="7" t="n"/>
      <c r="G36" s="7" t="n"/>
      <c r="H36" s="7" t="n"/>
      <c r="I36" s="10">
        <f>IF(B36&gt;0,H36/B36,0)</f>
        <v/>
      </c>
      <c r="J36" s="9">
        <f>B36-G36</f>
        <v/>
      </c>
    </row>
    <row r="37">
      <c r="A37" s="11" t="inlineStr">
        <is>
          <t>ИТОГО</t>
        </is>
      </c>
      <c r="B37" s="11">
        <f>SUM(B6:B36)</f>
        <v/>
      </c>
      <c r="C37" s="12">
        <f>SUM(C6:C36)</f>
        <v/>
      </c>
      <c r="D37" s="11">
        <f>IF(C37&gt;0,B37/C37,0)</f>
        <v/>
      </c>
      <c r="E37" s="11">
        <f>SUM(E6:E36)</f>
        <v/>
      </c>
      <c r="F37" s="11">
        <f>SUM(F6:F36)</f>
        <v/>
      </c>
      <c r="G37" s="11">
        <f>SUM(G6:G36)</f>
        <v/>
      </c>
      <c r="H37" s="11">
        <f>SUM(H6:H36)</f>
        <v/>
      </c>
      <c r="I37" s="13">
        <f>IF(B37&gt;0,H37/B37,0)</f>
        <v/>
      </c>
      <c r="J37" s="11">
        <f>SUM(J6:J36)</f>
        <v/>
      </c>
    </row>
  </sheetData>
  <mergeCells count="2">
    <mergeCell ref="A1:J1"/>
    <mergeCell ref="A2:J2"/>
  </mergeCells>
  <conditionalFormatting sqref="I6:I36">
    <cfRule type="cellIs" priority="1" operator="greaterThan" dxfId="0">
      <formula>0.03</formula>
    </cfRule>
  </conditionalFormatting>
  <conditionalFormatting sqref="J6:J36"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2026-10-09T17:41:15Z</dcterms:created>
  <dcterms:modified xmlns:dcterms="http://purl.org/dc/terms/" xmlns:xsi="http://www.w3.org/2001/XMLSchema-instance" xsi:type="dcterms:W3CDTF">2026-10-09T17:41:15Z</dcterms:modified>
</cp:coreProperties>
</file>