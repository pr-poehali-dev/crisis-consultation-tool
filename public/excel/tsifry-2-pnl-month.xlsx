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за меся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₽"/>
    <numFmt numFmtId="165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D60A"/>
      <sz val="18"/>
    </font>
    <font>
      <i val="1"/>
      <color rgb="00666666"/>
    </font>
    <font>
      <b val="1"/>
      <color rgb="000D0D0D"/>
    </font>
    <font>
      <b val="1"/>
    </font>
    <font/>
    <font>
      <b val="1"/>
      <color rgb="00FFD60A"/>
    </font>
  </fonts>
  <fills count="6">
    <fill>
      <patternFill/>
    </fill>
    <fill>
      <patternFill patternType="gray125"/>
    </fill>
    <fill>
      <patternFill patternType="solid">
        <fgColor rgb="000D0D0D"/>
      </patternFill>
    </fill>
    <fill>
      <patternFill patternType="solid">
        <fgColor rgb="00FFD60A"/>
      </patternFill>
    </fill>
    <fill>
      <patternFill patternType="solid">
        <fgColor rgb="00FFF8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0" fillId="4" borderId="1" pivotButton="0" quotePrefix="0" xfId="0"/>
    <xf numFmtId="165" fontId="5" fillId="5" borderId="1" pivotButton="0" quotePrefix="0" xfId="0"/>
    <xf numFmtId="0" fontId="5" fillId="5" borderId="1" pivotButton="0" quotePrefix="0" xfId="0"/>
    <xf numFmtId="0" fontId="0" fillId="0" borderId="1" pivotButton="0" quotePrefix="0" xfId="0"/>
    <xf numFmtId="9" fontId="0" fillId="4" borderId="1" pivotButton="0" quotePrefix="0" xfId="0"/>
    <xf numFmtId="0" fontId="5" fillId="5" borderId="1" applyAlignment="1" pivotButton="0" quotePrefix="0" xfId="0">
      <alignment horizontal="center"/>
    </xf>
    <xf numFmtId="0" fontId="6" fillId="2" borderId="1" pivotButton="0" quotePrefix="0" xfId="0"/>
    <xf numFmtId="164" fontId="6" fillId="2" borderId="1" pivotButton="0" quotePrefix="0" xfId="0"/>
    <xf numFmtId="165" fontId="6" fillId="2" borderId="1" pivotButton="0" quotePrefix="0" xfId="0"/>
    <xf numFmtId="0" fontId="6" fillId="2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9B9B"/>
          <bgColor rgb="00FF9B9B"/>
        </patternFill>
      </fill>
    </dxf>
    <dxf>
      <fill>
        <patternFill patternType="solid">
          <fgColor rgb="00B7E1A1"/>
          <bgColor rgb="00B7E1A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5" customWidth="1" min="3" max="3"/>
    <col width="11" customWidth="1" min="4" max="4"/>
    <col width="11" customWidth="1" min="5" max="5"/>
    <col width="16" customWidth="1" min="6" max="6"/>
  </cols>
  <sheetData>
    <row r="1" ht="36" customHeight="1">
      <c r="A1" s="1" t="inlineStr">
        <is>
          <t>P&amp;L ЗАВЕДЕНИЯ ЗА МЕСЯЦ</t>
        </is>
      </c>
    </row>
    <row r="2">
      <c r="A2" s="2" t="inlineStr">
        <is>
          <t>Впиши суммы в жёлтые ячейки. Статус покажет, где расходы выходят за норму.</t>
        </is>
      </c>
    </row>
    <row r="4" ht="34" customHeight="1">
      <c r="A4" s="3" t="inlineStr">
        <is>
          <t>Статья</t>
        </is>
      </c>
      <c r="B4" s="3" t="inlineStr">
        <is>
          <t>Сумма за месяц</t>
        </is>
      </c>
      <c r="C4" s="3" t="inlineStr">
        <is>
          <t>% от выручки</t>
        </is>
      </c>
      <c r="D4" s="3" t="inlineStr">
        <is>
          <t>Норма от</t>
        </is>
      </c>
      <c r="E4" s="3" t="inlineStr">
        <is>
          <t>Норма до</t>
        </is>
      </c>
      <c r="F4" s="3" t="inlineStr">
        <is>
          <t>Статус</t>
        </is>
      </c>
    </row>
    <row r="5">
      <c r="A5" s="4" t="inlineStr">
        <is>
          <t>Выручка</t>
        </is>
      </c>
      <c r="B5" s="5" t="n"/>
      <c r="C5" s="6">
        <f>IF(B5&gt;0,1,0)</f>
        <v/>
      </c>
      <c r="D5" s="7" t="n"/>
      <c r="E5" s="7" t="n"/>
      <c r="F5" s="7" t="n"/>
    </row>
    <row r="6">
      <c r="A6" s="8" t="inlineStr">
        <is>
          <t>Себестоимость продуктов (фудкост)</t>
        </is>
      </c>
      <c r="B6" s="5" t="n"/>
      <c r="C6" s="6">
        <f>IF($B$5&gt;0,B6/$B$5,0)</f>
        <v/>
      </c>
      <c r="D6" s="9" t="n">
        <v>0.28</v>
      </c>
      <c r="E6" s="9" t="n">
        <v>0.35</v>
      </c>
      <c r="F6" s="10">
        <f>IF($B$5=0,"",IF(C6&gt;E6,"Выше нормы",IF(C6&lt;D6,"Ниже нормы","В норме")))</f>
        <v/>
      </c>
    </row>
    <row r="7">
      <c r="A7" s="8" t="inlineStr">
        <is>
          <t>Фонд оплаты труда (ФОТ)</t>
        </is>
      </c>
      <c r="B7" s="5" t="n"/>
      <c r="C7" s="6">
        <f>IF($B$5&gt;0,B7/$B$5,0)</f>
        <v/>
      </c>
      <c r="D7" s="9" t="n">
        <v>0.22</v>
      </c>
      <c r="E7" s="9" t="n">
        <v>0.3</v>
      </c>
      <c r="F7" s="10">
        <f>IF($B$5=0,"",IF(C7&gt;E7,"Выше нормы",IF(C7&lt;D7,"Ниже нормы","В норме")))</f>
        <v/>
      </c>
    </row>
    <row r="8">
      <c r="A8" s="8" t="inlineStr">
        <is>
          <t>Аренда</t>
        </is>
      </c>
      <c r="B8" s="5" t="n"/>
      <c r="C8" s="6">
        <f>IF($B$5&gt;0,B8/$B$5,0)</f>
        <v/>
      </c>
      <c r="D8" s="9" t="n">
        <v>0.08</v>
      </c>
      <c r="E8" s="9" t="n">
        <v>0.15</v>
      </c>
      <c r="F8" s="10">
        <f>IF($B$5=0,"",IF(C8&gt;E8,"Выше нормы",IF(C8&lt;D8,"Ниже нормы","В норме")))</f>
        <v/>
      </c>
    </row>
    <row r="9">
      <c r="A9" s="8" t="inlineStr">
        <is>
          <t>Коммунальные услуги</t>
        </is>
      </c>
      <c r="B9" s="5" t="n"/>
      <c r="C9" s="6">
        <f>IF($B$5&gt;0,B9/$B$5,0)</f>
        <v/>
      </c>
      <c r="D9" s="9" t="n">
        <v>0.02</v>
      </c>
      <c r="E9" s="9" t="n">
        <v>0.05</v>
      </c>
      <c r="F9" s="10">
        <f>IF($B$5=0,"",IF(C9&gt;E9,"Выше нормы",IF(C9&lt;D9,"Ниже нормы","В норме")))</f>
        <v/>
      </c>
    </row>
    <row r="10">
      <c r="A10" s="8" t="inlineStr">
        <is>
          <t>Маркетинг</t>
        </is>
      </c>
      <c r="B10" s="5" t="n"/>
      <c r="C10" s="6">
        <f>IF($B$5&gt;0,B10/$B$5,0)</f>
        <v/>
      </c>
      <c r="D10" s="9" t="n">
        <v>0.03</v>
      </c>
      <c r="E10" s="9" t="n">
        <v>0.06</v>
      </c>
      <c r="F10" s="10">
        <f>IF($B$5=0,"",IF(C10&gt;E10,"Выше нормы",IF(C10&lt;D10,"Ниже нормы","В норме")))</f>
        <v/>
      </c>
    </row>
    <row r="11">
      <c r="A11" s="8" t="inlineStr">
        <is>
          <t>Эквайринг и комиссии</t>
        </is>
      </c>
      <c r="B11" s="5" t="n"/>
      <c r="C11" s="6">
        <f>IF($B$5&gt;0,B11/$B$5,0)</f>
        <v/>
      </c>
      <c r="D11" s="9" t="n">
        <v>0.01</v>
      </c>
      <c r="E11" s="9" t="n">
        <v>0.03</v>
      </c>
      <c r="F11" s="10">
        <f>IF($B$5=0,"",IF(C11&gt;E11,"Выше нормы",IF(C11&lt;D11,"Ниже нормы","В норме")))</f>
        <v/>
      </c>
    </row>
    <row r="12">
      <c r="A12" s="8" t="inlineStr">
        <is>
          <t>Прочие расходы</t>
        </is>
      </c>
      <c r="B12" s="5" t="n"/>
      <c r="C12" s="6">
        <f>IF($B$5&gt;0,B12/$B$5,0)</f>
        <v/>
      </c>
      <c r="D12" s="9" t="n">
        <v>0.02</v>
      </c>
      <c r="E12" s="9" t="n">
        <v>0.05</v>
      </c>
      <c r="F12" s="10">
        <f>IF($B$5=0,"",IF(C12&gt;E12,"Выше нормы",IF(C12&lt;D12,"Ниже нормы","В норме")))</f>
        <v/>
      </c>
    </row>
    <row r="13">
      <c r="A13" s="8" t="inlineStr">
        <is>
          <t>Налоги</t>
        </is>
      </c>
      <c r="B13" s="5" t="n"/>
      <c r="C13" s="6">
        <f>IF($B$5&gt;0,B13/$B$5,0)</f>
        <v/>
      </c>
      <c r="D13" s="9" t="n">
        <v>0.04</v>
      </c>
      <c r="E13" s="9" t="n">
        <v>0.08</v>
      </c>
      <c r="F13" s="10">
        <f>IF($B$5=0,"",IF(C13&gt;E13,"Выше нормы",IF(C13&lt;D13,"Ниже нормы","В норме")))</f>
        <v/>
      </c>
    </row>
    <row r="15">
      <c r="A15" s="11" t="inlineStr">
        <is>
          <t>Всего расходов</t>
        </is>
      </c>
      <c r="B15" s="12">
        <f>SUM(B6:B13)</f>
        <v/>
      </c>
      <c r="C15" s="13">
        <f>IF(B5&gt;0,B15/B5,0)</f>
        <v/>
      </c>
      <c r="D15" s="11" t="n"/>
      <c r="E15" s="11" t="n"/>
      <c r="F15" s="11" t="n"/>
    </row>
    <row r="16">
      <c r="A16" s="11" t="inlineStr">
        <is>
          <t>ЧИСТАЯ ПРИБЫЛЬ</t>
        </is>
      </c>
      <c r="B16" s="12">
        <f>B5-B15</f>
        <v/>
      </c>
      <c r="C16" s="13">
        <f>IF(B5&gt;0,B16/B5,0)</f>
        <v/>
      </c>
      <c r="D16" s="11" t="n"/>
      <c r="E16" s="11" t="n"/>
      <c r="F16" s="11" t="n"/>
    </row>
    <row r="17">
      <c r="A17" s="11" t="inlineStr">
        <is>
          <t>Рентабельность, цель 10-20%</t>
        </is>
      </c>
      <c r="B17" s="12" t="n"/>
      <c r="C17" s="13">
        <f>C16</f>
        <v/>
      </c>
      <c r="D17" s="11" t="n"/>
      <c r="E17" s="11" t="n"/>
      <c r="F17" s="14">
        <f>IF(B5=0,"",IF(C16&gt;=0.1,"Хорошо",IF(C16&gt;=0,"Слабо","Убыток")))</f>
        <v/>
      </c>
    </row>
    <row r="19">
      <c r="A19" s="15" t="inlineStr">
        <is>
          <t>Нормы ориентировочные для кофейни и кафе. Их можно менять под свой формат.</t>
        </is>
      </c>
    </row>
  </sheetData>
  <mergeCells count="2">
    <mergeCell ref="A2:F2"/>
    <mergeCell ref="A1:F1"/>
  </mergeCells>
  <conditionalFormatting sqref="F6:F13">
    <cfRule type="expression" priority="1" dxfId="0">
      <formula>F6="Выше нормы"</formula>
    </cfRule>
    <cfRule type="expression" priority="2" dxfId="1">
      <formula>F6="В норме"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2026-10-09T17:41:16Z</dcterms:created>
  <dcterms:modified xmlns:dcterms="http://purl.org/dc/terms/" xmlns:xsi="http://www.w3.org/2001/XMLSchema-instance" xsi:type="dcterms:W3CDTF">2026-10-09T17:41:16Z</dcterms:modified>
</cp:coreProperties>
</file>